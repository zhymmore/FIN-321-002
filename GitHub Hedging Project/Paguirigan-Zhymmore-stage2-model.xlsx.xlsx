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vable Hedge" sheetId="1" state="visible" r:id="rId3"/>
    <sheet name="Notes &amp; Assumptions" sheetId="2" state="visible" r:id="rId4"/>
  </sheets>
  <definedNames>
    <definedName function="false" hidden="false" name="F0_in" vbProcedure="false">'Receivable Hedge'!$C$15</definedName>
    <definedName function="false" hidden="false" name="FC_AMT" vbProcedure="false">'Receivable Hedge'!$C$11</definedName>
    <definedName function="false" hidden="false" name="K_CALL" vbProcedure="false">'Receivable Hedge'!$C$18</definedName>
    <definedName function="false" hidden="false" name="K_PUT" vbProcedure="false">'Receivable Hedge'!$C$16</definedName>
    <definedName function="false" hidden="false" name="PREM_CALL" vbProcedure="false">'Receivable Hedge'!$C$19</definedName>
    <definedName function="false" hidden="false" name="PREM_PUT" vbProcedure="false">'Receivable Hedge'!$C$17</definedName>
    <definedName function="false" hidden="false" name="R_EUR" vbProcedure="false">'Receivable Hedge'!$C$14</definedName>
    <definedName function="false" hidden="false" name="R_USD" vbProcedure="false">'Receivable Hedge'!$C$13</definedName>
    <definedName function="false" hidden="false" name="S0_in" vbProcedure="false">'Receivable Hedge'!$C$12</definedName>
    <definedName function="false" hidden="false" name="T_DAYS" vbProcedure="false">'Receivable Hedge'!$C$20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<sst xmlns="http://schemas.openxmlformats.org/spreadsheetml/2006/main" count="120" uniqueCount="118">
  <si>
    <t xml:space="preserve">Hedging EUR/USD Foreign Currency Receivables</t>
  </si>
  <si>
    <t xml:space="preserve">U.S. Pharmaceutical Exporter   |   FIN 321 – Chapter 8, Stage 2   |   Analyst: Zhymmore Paguirigan   |   Date: 2026-03-29</t>
  </si>
  <si>
    <t xml:space="preserve">Color Key:</t>
  </si>
  <si>
    <t xml:space="preserve">Inputs / Editable Variables</t>
  </si>
  <si>
    <t xml:space="preserve">Assumptions</t>
  </si>
  <si>
    <t xml:space="preserve">Formulas / Intermediate Steps</t>
  </si>
  <si>
    <t xml:space="preserve">Outputs / Summary KPIs</t>
  </si>
  <si>
    <t xml:space="preserve">SECTION 1 — INPUTS   (Edit yellow cells — entire model updates automatically)</t>
  </si>
  <si>
    <t xml:space="preserve">FC Amount (EUR)  [FC_AMT]</t>
  </si>
  <si>
    <t xml:space="preserve">EUR receivable from European pharma client</t>
  </si>
  <si>
    <t xml:space="preserve">EUR/USD Spot Rate  [S0]</t>
  </si>
  <si>
    <t xml:space="preserve">Source: FT Markets, 2026-03-29</t>
  </si>
  <si>
    <t xml:space="preserve">USD 1-Year Interest Rate  [R_USD]</t>
  </si>
  <si>
    <t xml:space="preserve">Federal Reserve H.15; mid-range of 3.50–3.75%</t>
  </si>
  <si>
    <t xml:space="preserve">EUR 1-Year Interest Rate  [R_EUR]</t>
  </si>
  <si>
    <t xml:space="preserve">ECB main refinancing rate as of Stage 1 memo</t>
  </si>
  <si>
    <t xml:space="preserve">EUR/USD 1-Year Forward Rate  [F0]</t>
  </si>
  <si>
    <t xml:space="preserve">Source: FT Markets, 2026-03-29; see Notes re IRP gap</t>
  </si>
  <si>
    <t xml:space="preserve">Put Strike Price  [K_PUT]</t>
  </si>
  <si>
    <t xml:space="preserve">At-the-money put (K = S₀); Stage 1 assumption</t>
  </si>
  <si>
    <t xml:space="preserve">Put Premium per EUR  [PREM_PUT]</t>
  </si>
  <si>
    <t xml:space="preserve">USD per EUR; no contract multiplier</t>
  </si>
  <si>
    <t xml:space="preserve">Call Strike Price  [K_CALL]</t>
  </si>
  <si>
    <t xml:space="preserve">Collar call strike; Stage 1 approximation</t>
  </si>
  <si>
    <t xml:space="preserve">Call Premium per EUR  [PREM_CALL]</t>
  </si>
  <si>
    <t xml:space="preserve">Time Horizon (years)  [T]</t>
  </si>
  <si>
    <t xml:space="preserve">1-year EUR/USD receivable</t>
  </si>
  <si>
    <t xml:space="preserve">SECTION 2 — FORWARD HEDGE: Sell EUR/USD 1-Year Forward at F₀</t>
  </si>
  <si>
    <t xml:space="preserve">[a]  USD proceeds locked in: sell FC_AMT forward at F₀</t>
  </si>
  <si>
    <t xml:space="preserve">Formula: FC_AMT × F₀   =   7,272,727 × 1.0890</t>
  </si>
  <si>
    <t xml:space="preserve">⟹  LOCKED IN: We receive this exact USD amount in one year regardless of EUR/USD movements.  Zero premium cost.  Zero upside participation.</t>
  </si>
  <si>
    <t xml:space="preserve">SECTION 3 — MONEY MARKET HEDGE: Borrow EUR → Convert at Spot → Invest in USD</t>
  </si>
  <si>
    <t xml:space="preserve">[a]  Borrow PV of EUR receivable (EUR)</t>
  </si>
  <si>
    <t xml:space="preserve">Formula: FC_AMT ÷ (1 + R_EUR)  — borrow this amount in EUR today</t>
  </si>
  <si>
    <t xml:space="preserve">[b]  Convert [a] to USD at current spot rate (USD)</t>
  </si>
  <si>
    <t xml:space="preserve">Formula: Step [a] × S₀  — sell EUR, receive USD proceeds today</t>
  </si>
  <si>
    <t xml:space="preserve">[c]  Invest [b] in USD for 1 year → proceeds at maturity (USD)</t>
  </si>
  <si>
    <t xml:space="preserve">Formula: Step [b] × (1 + R_USD)  — USD investment grows to this amount</t>
  </si>
  <si>
    <t xml:space="preserve">⟹  LOCKED IN: We receive this USD amount at maturity.  By covered interest rate parity, this should ≈ Forward Hedge.  See parity check below.</t>
  </si>
  <si>
    <t xml:space="preserve">⚖  Parity Check: MM Hedge Proceeds − Forward Hedge Proceeds  (expect ≈ $0 if IRP holds)</t>
  </si>
  <si>
    <t xml:space="preserve">Non-zero result = deviation from covered IRP.  Given F₀ = 1.0890 vs. IRP-implied ≈ 1.1688.  See Notes tab.</t>
  </si>
  <si>
    <t xml:space="preserve">SECTION 4 — OPTION HEDGE: Buy EUR Put  (Right to Sell EUR at K_PUT)</t>
  </si>
  <si>
    <t xml:space="preserve">[a]  Total put premium cost (USD)</t>
  </si>
  <si>
    <t xml:space="preserve">Formula: FC_AMT × PREM_PUT</t>
  </si>
  <si>
    <t xml:space="preserve">[b]  Future value of premium at R_USD (USD)</t>
  </si>
  <si>
    <t xml:space="preserve">Formula: Premium × (1 + R_USD)  — true economic cost in 1-year terms</t>
  </si>
  <si>
    <t xml:space="preserve">[c]  FLOOR: net proceeds if put exercised at K_PUT (USD)</t>
  </si>
  <si>
    <t xml:space="preserve">Formula: FC_AMT × K_PUT − FV(premium)  — guaranteed minimum USD</t>
  </si>
  <si>
    <t xml:space="preserve">⟹  FLOOR: Minimum guaranteed USD proceeds.  If EUR strengthens (S_T &gt; K_PUT): let put expire → proceeds = S_T × FC_AMT − FV(premium).  Full upside retained.</t>
  </si>
  <si>
    <t xml:space="preserve">SECTION 5 — COLLAR HEDGE: Buy EUR Put at K_PUT + Sell EUR Call at K_CALL</t>
  </si>
  <si>
    <t xml:space="preserve">[a]  Put premium paid (USD)</t>
  </si>
  <si>
    <t xml:space="preserve">[b]  Call premium received (USD)</t>
  </si>
  <si>
    <t xml:space="preserve">Formula: FC_AMT × PREM_CALL</t>
  </si>
  <si>
    <t xml:space="preserve">[c]  Net premium cost / (income) (USD)</t>
  </si>
  <si>
    <t xml:space="preserve">Positive = net cost; negative = net income.  PREM_CALL &gt; PREM_PUT here → net income.</t>
  </si>
  <si>
    <t xml:space="preserve">[d]  FV of net premium at R_USD (USD)</t>
  </si>
  <si>
    <t xml:space="preserve">Formula: Net premium × (1 + R_USD)</t>
  </si>
  <si>
    <t xml:space="preserve">[e]  FLOOR: net proceeds when put exercised (S_T &lt; K_PUT)</t>
  </si>
  <si>
    <t xml:space="preserve">Formula: FC_AMT × K_PUT − FV(net premium)</t>
  </si>
  <si>
    <t xml:space="preserve">[f]   CAP: net proceeds when call exercised (S_T &gt; K_CALL)</t>
  </si>
  <si>
    <t xml:space="preserve">Formula: FC_AMT × K_CALL − FV(net premium)</t>
  </si>
  <si>
    <t xml:space="preserve">⟹  RANGE: Proceeds bounded between Floor [e] and Cap [f].  If K_PUT ≤ S_T ≤ K_CALL: proceeds = S_T × FC_AMT − FV(net premium).  Net income (PREM_CALL &gt; PREM_PUT) boosts all collar outcomes vs. put-only.</t>
  </si>
  <si>
    <t xml:space="preserve">SECTION 6 — SENSITIVITY ANALYSIS: USD Proceeds vs. EUR/USD Spot at Maturity  (S₀ ± 5%, 1% steps)</t>
  </si>
  <si>
    <t xml:space="preserve">Future Spot (S_T)</t>
  </si>
  <si>
    <t xml:space="preserve">0. No Hedge</t>
  </si>
  <si>
    <t xml:space="preserve">1. Forward</t>
  </si>
  <si>
    <t xml:space="preserve">2. Money Mkt</t>
  </si>
  <si>
    <t xml:space="preserve">3. Put Only</t>
  </si>
  <si>
    <t xml:space="preserve">4. Collar</t>
  </si>
  <si>
    <t xml:space="preserve">Best Strategy</t>
  </si>
  <si>
    <t xml:space="preserve">← Yellow row = baseline (S_T = S₀ = 1.1508, no EUR/USD movement).  Rows above = EUR depreciation (unfavorable for exporter).  Rows below = EUR appreciation (favorable for exporter).</t>
  </si>
  <si>
    <t xml:space="preserve">SECTION 7 — SUMMARY OUTPUT</t>
  </si>
  <si>
    <t xml:space="preserve">1.  Forward Hedge — USD Proceeds (locked in)</t>
  </si>
  <si>
    <t xml:space="preserve">Linked from Section 2</t>
  </si>
  <si>
    <t xml:space="preserve">2.  Money Market Hedge — USD Proceeds (locked in)</t>
  </si>
  <si>
    <t xml:space="preserve">Linked from Section 3; compare vs. Forward for IRP parity</t>
  </si>
  <si>
    <t xml:space="preserve">3.  Put Option Hedge — Floor (minimum guaranteed USD proceeds)</t>
  </si>
  <si>
    <t xml:space="preserve">Linked from Section 4; upside unlimited above K_PUT net of premium</t>
  </si>
  <si>
    <t xml:space="preserve">4.  Collar Hedge — Floor  (S_T &lt; K_PUT)</t>
  </si>
  <si>
    <t xml:space="preserve">Linked from Section 5</t>
  </si>
  <si>
    <t xml:space="preserve">4.  Collar Hedge — Cap   (S_T &gt; K_CALL)</t>
  </si>
  <si>
    <t xml:space="preserve">Linked from Section 5; upside capped at this level</t>
  </si>
  <si>
    <t xml:space="preserve">5.  Hedge Recommendation</t>
  </si>
  <si>
    <t xml:space="preserve">TBD — To be completed in Stage 4</t>
  </si>
  <si>
    <t xml:space="preserve">Pending full quantitative analysis and CFO priorities</t>
  </si>
  <si>
    <t xml:space="preserve">Notes &amp; Assumptions</t>
  </si>
  <si>
    <t xml:space="preserve">Topic</t>
  </si>
  <si>
    <t xml:space="preserve">Detail / Source</t>
  </si>
  <si>
    <t xml:space="preserve">FC Amount</t>
  </si>
  <si>
    <t xml:space="preserve">€7,272,727 derived from ~$8M USD target ÷ spot 1.1508 ≈ $8.35M. Full receivable is hedged; partial hedge analysis deferred to Stage 3.</t>
  </si>
  <si>
    <t xml:space="preserve">Spot Rate</t>
  </si>
  <si>
    <t xml:space="preserve">EUR/USD = 1.1508 as of 2026-03-29 (source: FT Markets). Used as baseline and as put strike.</t>
  </si>
  <si>
    <t xml:space="preserve">Forward Rate — IRP Gap</t>
  </si>
  <si>
    <t xml:space="preserve">Given F₀ = 1.0890.  Covered IRP implies F₀ = S₀ × (1+R_USD)÷(1+R_EUR) = 1.1508 × (1.0375÷1.0215) ≈ 1.1688.  The ~6.8% gap vs. the given forward likely reflects market risk premium, liquidity, or data-source timing differences.  This explains the large parity check discrepancy in Section 3.</t>
  </si>
  <si>
    <t xml:space="preserve">USD Interest Rate</t>
  </si>
  <si>
    <t xml:space="preserve">3.75% = mid-point of Federal Reserve target band (3.50–3.75%) as of 2026-03-29.  Source: Federal Reserve H.15 daily release.</t>
  </si>
  <si>
    <t xml:space="preserve">EUR Interest Rate</t>
  </si>
  <si>
    <t xml:space="preserve">2.15% = ECB main refinancing rate as of Stage 1 memo date.  Source: ECB.europa.eu.</t>
  </si>
  <si>
    <t xml:space="preserve">Put Strike (K_PUT)</t>
  </si>
  <si>
    <t xml:space="preserve">K_PUT = 1.1508 (at-the-money, K = S₀) per Stage 1 memo.  Actual market ATM strike may differ slightly by quoting convention.</t>
  </si>
  <si>
    <t xml:space="preserve">Put Premium (PREM_PUT)</t>
  </si>
  <si>
    <t xml:space="preserve">$0.021 per EUR is illustrative per Stage 1 scenario.  Actual quote depends on implied volatility, tenor, credit quality, and dealer relationship.</t>
  </si>
  <si>
    <t xml:space="preserve">Call Strike (K_CALL)</t>
  </si>
  <si>
    <t xml:space="preserve">K_CALL = 1.1700 per Stage 1 memo approximation.  Must be validated against a real market quote before Stage 3 implementation.</t>
  </si>
  <si>
    <t xml:space="preserve">Call Premium (PREM_CALL)</t>
  </si>
  <si>
    <t xml:space="preserve">$0.026 per EUR per Stage 1 scenario.  Note: PREM_CALL ($0.026) &gt; PREM_PUT ($0.021) → net collar income of $0.005/EUR.</t>
  </si>
  <si>
    <t xml:space="preserve">Collar Net Income</t>
  </si>
  <si>
    <t xml:space="preserve">Net premium per EUR = PREM_PUT − PREM_CALL = −$0.005/EUR (income, not cost).  FV ≈ −$37,700; collar proceeds exceed No-Hedge proceeds by ~$37–38K at every spot level.</t>
  </si>
  <si>
    <t xml:space="preserve">Parity Check (Section 3)</t>
  </si>
  <si>
    <t xml:space="preserve">A large non-zero parity check is expected because the given F₀ (1.0890) deviates significantly from the IRP-implied rate (≈1.1688).  This is documented as a known limitation per the Stage 1 memo.</t>
  </si>
  <si>
    <t xml:space="preserve">Bid-Ask Spreads</t>
  </si>
  <si>
    <t xml:space="preserve">Ignored.  Add a 'Bid-Ask Spread' row in Section 1 Inputs to incorporate transaction costs.</t>
  </si>
  <si>
    <t xml:space="preserve">Counterparty Credit Risk</t>
  </si>
  <si>
    <t xml:space="preserve">Forward contract carries counterparty credit risk.  ISDA/CSA netting agreements apply in practice.</t>
  </si>
  <si>
    <t xml:space="preserve">Rate Basis</t>
  </si>
  <si>
    <t xml:space="preserve">All rates are annual (Act/365 assumed).  Model uses T = 1.0 year exactly.</t>
  </si>
  <si>
    <t xml:space="preserve">Sensitivity Range</t>
  </si>
  <si>
    <t xml:space="preserve">±5% of S₀ in 1% increments per assignment specification.  Actual EUR/USD has shown ±4–8% annual ranges; worst-case analysis beyond ±5% deferred to Stage 3.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</si>
</sst>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0"/>
    <numFmt numFmtId="167" formatCode="0.00%"/>
    <numFmt numFmtId="168" formatCode="\$0.0000"/>
    <numFmt numFmtId="169" formatCode="0"/>
    <numFmt numFmtId="170" formatCode="\$#,##0.00"/>
    <numFmt numFmtId="171" formatCode="0.00"/>
    <numFmt numFmtId="172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i val="true"/>
      <sz val="8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EEAF1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0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4A7EBB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vs. EUR/USD Spot Rate at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'Receivable Hedge'!C54</c:f>
              <c:strCache>
                <c:ptCount val="1"/>
                <c:pt idx="0">
                  <c:v>0. No Hedge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'Receivable Hedge'!$B$55:$B$65</c:f>
              <c:strCache>
                <c:ptCount val="11"/>
                <c:pt idx="0">
                  <c:v>1.0933</c:v>
                </c:pt>
                <c:pt idx="1">
                  <c:v>1.1048</c:v>
                </c:pt>
                <c:pt idx="2">
                  <c:v>1.1163</c:v>
                </c:pt>
                <c:pt idx="3">
                  <c:v>1.1278</c:v>
                </c:pt>
                <c:pt idx="4">
                  <c:v>1.1393</c:v>
                </c:pt>
                <c:pt idx="5">
                  <c:v>1.1508</c:v>
                </c:pt>
                <c:pt idx="6">
                  <c:v>1.1623</c:v>
                </c:pt>
                <c:pt idx="7">
                  <c:v>1.1738</c:v>
                </c:pt>
                <c:pt idx="8">
                  <c:v>1.1853</c:v>
                </c:pt>
                <c:pt idx="9">
                  <c:v>1.1968</c:v>
                </c:pt>
                <c:pt idx="10">
                  <c:v>1.2083</c:v>
                </c:pt>
              </c:strCache>
            </c:strRef>
          </c:cat>
          <c:val>
            <c:numRef>
              <c:f>'Receivable Hedge'!$C$55:$C$65</c:f>
              <c:numCache>
                <c:formatCode>\$#,##0</c:formatCode>
                <c:ptCount val="11"/>
                <c:pt idx="0">
                  <c:v>7950981.52002</c:v>
                </c:pt>
                <c:pt idx="1">
                  <c:v>8034676.062336</c:v>
                </c:pt>
                <c:pt idx="2">
                  <c:v>8118370.604652</c:v>
                </c:pt>
                <c:pt idx="3">
                  <c:v>8202065.146968</c:v>
                </c:pt>
                <c:pt idx="4">
                  <c:v>8285759.689284</c:v>
                </c:pt>
                <c:pt idx="5">
                  <c:v>8369454.2316</c:v>
                </c:pt>
                <c:pt idx="6">
                  <c:v>8453148.773916</c:v>
                </c:pt>
                <c:pt idx="7">
                  <c:v>8536843.316232</c:v>
                </c:pt>
                <c:pt idx="8">
                  <c:v>8620537.858548</c:v>
                </c:pt>
                <c:pt idx="9">
                  <c:v>8704232.400864</c:v>
                </c:pt>
                <c:pt idx="10">
                  <c:v>8787926.94318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'Receivable Hedge'!D54</c:f>
              <c:strCache>
                <c:ptCount val="1"/>
                <c:pt idx="0">
                  <c:v>1. Forward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'Receivable Hedge'!$B$55:$B$65</c:f>
              <c:strCache>
                <c:ptCount val="11"/>
                <c:pt idx="0">
                  <c:v>1.0933</c:v>
                </c:pt>
                <c:pt idx="1">
                  <c:v>1.1048</c:v>
                </c:pt>
                <c:pt idx="2">
                  <c:v>1.1163</c:v>
                </c:pt>
                <c:pt idx="3">
                  <c:v>1.1278</c:v>
                </c:pt>
                <c:pt idx="4">
                  <c:v>1.1393</c:v>
                </c:pt>
                <c:pt idx="5">
                  <c:v>1.1508</c:v>
                </c:pt>
                <c:pt idx="6">
                  <c:v>1.1623</c:v>
                </c:pt>
                <c:pt idx="7">
                  <c:v>1.1738</c:v>
                </c:pt>
                <c:pt idx="8">
                  <c:v>1.1853</c:v>
                </c:pt>
                <c:pt idx="9">
                  <c:v>1.1968</c:v>
                </c:pt>
                <c:pt idx="10">
                  <c:v>1.2083</c:v>
                </c:pt>
              </c:strCache>
            </c:strRef>
          </c:cat>
          <c:val>
            <c:numRef>
              <c:f>'Receivable Hedge'!$D$55:$D$65</c:f>
              <c:numCache>
                <c:formatCode>\$#,##0</c:formatCode>
                <c:ptCount val="11"/>
                <c:pt idx="0">
                  <c:v>7919999.703</c:v>
                </c:pt>
                <c:pt idx="1">
                  <c:v>7919999.703</c:v>
                </c:pt>
                <c:pt idx="2">
                  <c:v>7919999.703</c:v>
                </c:pt>
                <c:pt idx="3">
                  <c:v>7919999.703</c:v>
                </c:pt>
                <c:pt idx="4">
                  <c:v>7919999.703</c:v>
                </c:pt>
                <c:pt idx="5">
                  <c:v>7919999.703</c:v>
                </c:pt>
                <c:pt idx="6">
                  <c:v>7919999.703</c:v>
                </c:pt>
                <c:pt idx="7">
                  <c:v>7919999.703</c:v>
                </c:pt>
                <c:pt idx="8">
                  <c:v>7919999.703</c:v>
                </c:pt>
                <c:pt idx="9">
                  <c:v>7919999.703</c:v>
                </c:pt>
                <c:pt idx="10">
                  <c:v>7919999.703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'Receivable Hedge'!E54</c:f>
              <c:strCache>
                <c:ptCount val="1"/>
                <c:pt idx="0">
                  <c:v>2. Money Mkt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'Receivable Hedge'!$B$55:$B$65</c:f>
              <c:strCache>
                <c:ptCount val="11"/>
                <c:pt idx="0">
                  <c:v>1.0933</c:v>
                </c:pt>
                <c:pt idx="1">
                  <c:v>1.1048</c:v>
                </c:pt>
                <c:pt idx="2">
                  <c:v>1.1163</c:v>
                </c:pt>
                <c:pt idx="3">
                  <c:v>1.1278</c:v>
                </c:pt>
                <c:pt idx="4">
                  <c:v>1.1393</c:v>
                </c:pt>
                <c:pt idx="5">
                  <c:v>1.1508</c:v>
                </c:pt>
                <c:pt idx="6">
                  <c:v>1.1623</c:v>
                </c:pt>
                <c:pt idx="7">
                  <c:v>1.1738</c:v>
                </c:pt>
                <c:pt idx="8">
                  <c:v>1.1853</c:v>
                </c:pt>
                <c:pt idx="9">
                  <c:v>1.1968</c:v>
                </c:pt>
                <c:pt idx="10">
                  <c:v>1.2083</c:v>
                </c:pt>
              </c:strCache>
            </c:strRef>
          </c:cat>
          <c:val>
            <c:numRef>
              <c:f>'Receivable Hedge'!$E$55:$E$65</c:f>
              <c:numCache>
                <c:formatCode>\$#,##0</c:formatCode>
                <c:ptCount val="11"/>
                <c:pt idx="0">
                  <c:v>8500547.00468429</c:v>
                </c:pt>
                <c:pt idx="1">
                  <c:v>8500547.00468429</c:v>
                </c:pt>
                <c:pt idx="2">
                  <c:v>8500547.00468429</c:v>
                </c:pt>
                <c:pt idx="3">
                  <c:v>8500547.00468429</c:v>
                </c:pt>
                <c:pt idx="4">
                  <c:v>8500547.00468429</c:v>
                </c:pt>
                <c:pt idx="5">
                  <c:v>8500547.00468429</c:v>
                </c:pt>
                <c:pt idx="6">
                  <c:v>8500547.00468429</c:v>
                </c:pt>
                <c:pt idx="7">
                  <c:v>8500547.00468429</c:v>
                </c:pt>
                <c:pt idx="8">
                  <c:v>8500547.00468429</c:v>
                </c:pt>
                <c:pt idx="9">
                  <c:v>8500547.00468429</c:v>
                </c:pt>
                <c:pt idx="10">
                  <c:v>8500547.00468429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'Receivable Hedge'!F54</c:f>
              <c:strCache>
                <c:ptCount val="1"/>
                <c:pt idx="0">
                  <c:v>3. Put Only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'Receivable Hedge'!$B$55:$B$65</c:f>
              <c:strCache>
                <c:ptCount val="11"/>
                <c:pt idx="0">
                  <c:v>1.0933</c:v>
                </c:pt>
                <c:pt idx="1">
                  <c:v>1.1048</c:v>
                </c:pt>
                <c:pt idx="2">
                  <c:v>1.1163</c:v>
                </c:pt>
                <c:pt idx="3">
                  <c:v>1.1278</c:v>
                </c:pt>
                <c:pt idx="4">
                  <c:v>1.1393</c:v>
                </c:pt>
                <c:pt idx="5">
                  <c:v>1.1508</c:v>
                </c:pt>
                <c:pt idx="6">
                  <c:v>1.1623</c:v>
                </c:pt>
                <c:pt idx="7">
                  <c:v>1.1738</c:v>
                </c:pt>
                <c:pt idx="8">
                  <c:v>1.1853</c:v>
                </c:pt>
                <c:pt idx="9">
                  <c:v>1.1968</c:v>
                </c:pt>
                <c:pt idx="10">
                  <c:v>1.2083</c:v>
                </c:pt>
              </c:strCache>
            </c:strRef>
          </c:cat>
          <c:val>
            <c:numRef>
              <c:f>'Receivable Hedge'!$F$55:$F$65</c:f>
              <c:numCache>
                <c:formatCode>\$#,##0</c:formatCode>
                <c:ptCount val="11"/>
                <c:pt idx="0">
                  <c:v>8210999.6920875</c:v>
                </c:pt>
                <c:pt idx="1">
                  <c:v>8210999.6920875</c:v>
                </c:pt>
                <c:pt idx="2">
                  <c:v>8210999.6920875</c:v>
                </c:pt>
                <c:pt idx="3">
                  <c:v>8210999.6920875</c:v>
                </c:pt>
                <c:pt idx="4">
                  <c:v>8210999.6920875</c:v>
                </c:pt>
                <c:pt idx="5">
                  <c:v>8210999.6920875</c:v>
                </c:pt>
                <c:pt idx="6">
                  <c:v>8294694.2344035</c:v>
                </c:pt>
                <c:pt idx="7">
                  <c:v>8378388.7767195</c:v>
                </c:pt>
                <c:pt idx="8">
                  <c:v>8462083.3190355</c:v>
                </c:pt>
                <c:pt idx="9">
                  <c:v>8545777.8613515</c:v>
                </c:pt>
                <c:pt idx="10">
                  <c:v>8629472.4036675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'Receivable Hedge'!G54</c:f>
              <c:strCache>
                <c:ptCount val="1"/>
                <c:pt idx="0">
                  <c:v>4. Collar</c:v>
                </c:pt>
              </c:strCache>
            </c:strRef>
          </c:tx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'Receivable Hedge'!$B$55:$B$65</c:f>
              <c:strCache>
                <c:ptCount val="11"/>
                <c:pt idx="0">
                  <c:v>1.0933</c:v>
                </c:pt>
                <c:pt idx="1">
                  <c:v>1.1048</c:v>
                </c:pt>
                <c:pt idx="2">
                  <c:v>1.1163</c:v>
                </c:pt>
                <c:pt idx="3">
                  <c:v>1.1278</c:v>
                </c:pt>
                <c:pt idx="4">
                  <c:v>1.1393</c:v>
                </c:pt>
                <c:pt idx="5">
                  <c:v>1.1508</c:v>
                </c:pt>
                <c:pt idx="6">
                  <c:v>1.1623</c:v>
                </c:pt>
                <c:pt idx="7">
                  <c:v>1.1738</c:v>
                </c:pt>
                <c:pt idx="8">
                  <c:v>1.1853</c:v>
                </c:pt>
                <c:pt idx="9">
                  <c:v>1.1968</c:v>
                </c:pt>
                <c:pt idx="10">
                  <c:v>1.2083</c:v>
                </c:pt>
              </c:strCache>
            </c:strRef>
          </c:cat>
          <c:val>
            <c:numRef>
              <c:f>'Receivable Hedge'!$G$55:$G$65</c:f>
              <c:numCache>
                <c:formatCode>\$#,##0</c:formatCode>
                <c:ptCount val="11"/>
                <c:pt idx="0">
                  <c:v>8407181.5029125</c:v>
                </c:pt>
                <c:pt idx="1">
                  <c:v>8407181.5029125</c:v>
                </c:pt>
                <c:pt idx="2">
                  <c:v>8407181.5029125</c:v>
                </c:pt>
                <c:pt idx="3">
                  <c:v>8407181.5029125</c:v>
                </c:pt>
                <c:pt idx="4">
                  <c:v>8407181.5029125</c:v>
                </c:pt>
                <c:pt idx="5">
                  <c:v>8407181.5029125</c:v>
                </c:pt>
                <c:pt idx="6">
                  <c:v>8490876.0452285</c:v>
                </c:pt>
                <c:pt idx="7">
                  <c:v>8546817.8613125</c:v>
                </c:pt>
                <c:pt idx="8">
                  <c:v>8546817.8613125</c:v>
                </c:pt>
                <c:pt idx="9">
                  <c:v>8546817.8613125</c:v>
                </c:pt>
                <c:pt idx="10">
                  <c:v>8546817.8613125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953724"/>
        <c:axId val="36801680"/>
      </c:lineChart>
      <c:catAx>
        <c:axId val="62953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EUR/USD Spot Rate at Maturity (S_T)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01680"/>
        <c:crosses val="autoZero"/>
        <c:auto val="1"/>
        <c:lblAlgn val="ctr"/>
        <c:lblOffset val="100"/>
        <c:noMultiLvlLbl val="0"/>
      </c:catAx>
      <c:valAx>
        <c:axId val="36801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53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77</xdr:row>
      <xdr:rowOff>0</xdr:rowOff>
    </xdr:from>
    <xdr:to>
      <xdr:col>6</xdr:col>
      <xdr:colOff>737640</xdr:colOff>
      <xdr:row>103</xdr:row>
      <xdr:rowOff>86760</xdr:rowOff>
    </xdr:to>
    <xdr:graphicFrame>
      <xdr:nvGraphicFramePr>
        <xdr:cNvPr id="0" name="Chart 1"/>
        <xdr:cNvGraphicFramePr/>
      </xdr:nvGraphicFramePr>
      <xdr:xfrm>
        <a:off x="211320" y="13478040"/>
        <a:ext cx="82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3"/>
    <col collapsed="false" customWidth="true" hidden="false" outlineLevel="0" max="7" min="3" style="0" width="16"/>
    <col collapsed="false" customWidth="true" hidden="false" outlineLevel="0" max="8" min="8" style="0" width="22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6.75" hidden="false" customHeight="true" outlineLevel="0" collapsed="false"/>
    <row r="4" customFormat="false" ht="15" hidden="false" customHeight="true" outlineLevel="0" collapsed="false">
      <c r="B4" s="3" t="s">
        <v>2</v>
      </c>
    </row>
    <row r="5" customFormat="false" ht="13.5" hidden="false" customHeight="true" outlineLevel="0" collapsed="false">
      <c r="B5" s="4"/>
      <c r="C5" s="5" t="s">
        <v>3</v>
      </c>
      <c r="D5" s="5"/>
      <c r="E5" s="5"/>
      <c r="F5" s="5"/>
      <c r="G5" s="5"/>
      <c r="H5" s="5"/>
    </row>
    <row r="6" customFormat="false" ht="13.5" hidden="false" customHeight="true" outlineLevel="0" collapsed="false">
      <c r="B6" s="6"/>
      <c r="C6" s="5" t="s">
        <v>4</v>
      </c>
      <c r="D6" s="5"/>
      <c r="E6" s="5"/>
      <c r="F6" s="5"/>
      <c r="G6" s="5"/>
      <c r="H6" s="5"/>
    </row>
    <row r="7" customFormat="false" ht="13.5" hidden="false" customHeight="true" outlineLevel="0" collapsed="false">
      <c r="B7" s="7"/>
      <c r="C7" s="5" t="s">
        <v>5</v>
      </c>
      <c r="D7" s="5"/>
      <c r="E7" s="5"/>
      <c r="F7" s="5"/>
      <c r="G7" s="5"/>
      <c r="H7" s="5"/>
    </row>
    <row r="8" customFormat="false" ht="13.5" hidden="false" customHeight="true" outlineLevel="0" collapsed="false">
      <c r="B8" s="8"/>
      <c r="C8" s="5" t="s">
        <v>6</v>
      </c>
      <c r="D8" s="5"/>
      <c r="E8" s="5"/>
      <c r="F8" s="5"/>
      <c r="G8" s="5"/>
      <c r="H8" s="5"/>
    </row>
    <row r="9" customFormat="false" ht="6.75" hidden="false" customHeight="true" outlineLevel="0" collapsed="false"/>
    <row r="10" customFormat="false" ht="16.5" hidden="false" customHeight="true" outlineLevel="0" collapsed="false">
      <c r="B10" s="9" t="s">
        <v>7</v>
      </c>
      <c r="C10" s="9"/>
      <c r="D10" s="9"/>
      <c r="E10" s="9"/>
      <c r="F10" s="9"/>
      <c r="G10" s="9"/>
      <c r="H10" s="9"/>
    </row>
    <row r="11" customFormat="false" ht="15" hidden="false" customHeight="true" outlineLevel="0" collapsed="false">
      <c r="B11" s="10" t="s">
        <v>8</v>
      </c>
      <c r="C11" s="11" t="n">
        <v>7272727</v>
      </c>
      <c r="D11" s="12" t="s">
        <v>9</v>
      </c>
      <c r="E11" s="12"/>
      <c r="F11" s="12"/>
      <c r="G11" s="12"/>
      <c r="H11" s="12"/>
    </row>
    <row r="12" customFormat="false" ht="15" hidden="false" customHeight="true" outlineLevel="0" collapsed="false">
      <c r="B12" s="10" t="s">
        <v>10</v>
      </c>
      <c r="C12" s="13" t="n">
        <v>1.1508</v>
      </c>
      <c r="D12" s="12" t="s">
        <v>11</v>
      </c>
      <c r="E12" s="12"/>
      <c r="F12" s="12"/>
      <c r="G12" s="12"/>
      <c r="H12" s="12"/>
    </row>
    <row r="13" customFormat="false" ht="15" hidden="false" customHeight="true" outlineLevel="0" collapsed="false">
      <c r="B13" s="10" t="s">
        <v>12</v>
      </c>
      <c r="C13" s="14" t="n">
        <v>0.0375</v>
      </c>
      <c r="D13" s="12" t="s">
        <v>13</v>
      </c>
      <c r="E13" s="12"/>
      <c r="F13" s="12"/>
      <c r="G13" s="12"/>
      <c r="H13" s="12"/>
    </row>
    <row r="14" customFormat="false" ht="15" hidden="false" customHeight="true" outlineLevel="0" collapsed="false">
      <c r="B14" s="10" t="s">
        <v>14</v>
      </c>
      <c r="C14" s="14" t="n">
        <v>0.0215</v>
      </c>
      <c r="D14" s="12" t="s">
        <v>15</v>
      </c>
      <c r="E14" s="12"/>
      <c r="F14" s="12"/>
      <c r="G14" s="12"/>
      <c r="H14" s="12"/>
    </row>
    <row r="15" customFormat="false" ht="15" hidden="false" customHeight="true" outlineLevel="0" collapsed="false">
      <c r="B15" s="10" t="s">
        <v>16</v>
      </c>
      <c r="C15" s="13" t="n">
        <v>1.089</v>
      </c>
      <c r="D15" s="12" t="s">
        <v>17</v>
      </c>
      <c r="E15" s="12"/>
      <c r="F15" s="12"/>
      <c r="G15" s="12"/>
      <c r="H15" s="12"/>
    </row>
    <row r="16" customFormat="false" ht="15" hidden="false" customHeight="true" outlineLevel="0" collapsed="false">
      <c r="B16" s="10" t="s">
        <v>18</v>
      </c>
      <c r="C16" s="13" t="n">
        <v>1.1508</v>
      </c>
      <c r="D16" s="12" t="s">
        <v>19</v>
      </c>
      <c r="E16" s="12"/>
      <c r="F16" s="12"/>
      <c r="G16" s="12"/>
      <c r="H16" s="12"/>
    </row>
    <row r="17" customFormat="false" ht="15" hidden="false" customHeight="true" outlineLevel="0" collapsed="false">
      <c r="B17" s="10" t="s">
        <v>20</v>
      </c>
      <c r="C17" s="15" t="n">
        <v>0.021</v>
      </c>
      <c r="D17" s="12" t="s">
        <v>21</v>
      </c>
      <c r="E17" s="12"/>
      <c r="F17" s="12"/>
      <c r="G17" s="12"/>
      <c r="H17" s="12"/>
    </row>
    <row r="18" customFormat="false" ht="15" hidden="false" customHeight="true" outlineLevel="0" collapsed="false">
      <c r="B18" s="10" t="s">
        <v>22</v>
      </c>
      <c r="C18" s="13" t="n">
        <v>1.17</v>
      </c>
      <c r="D18" s="12" t="s">
        <v>23</v>
      </c>
      <c r="E18" s="12"/>
      <c r="F18" s="12"/>
      <c r="G18" s="12"/>
      <c r="H18" s="12"/>
    </row>
    <row r="19" customFormat="false" ht="15" hidden="false" customHeight="true" outlineLevel="0" collapsed="false">
      <c r="B19" s="10" t="s">
        <v>24</v>
      </c>
      <c r="C19" s="15" t="n">
        <v>0.026</v>
      </c>
      <c r="D19" s="12" t="s">
        <v>21</v>
      </c>
      <c r="E19" s="12"/>
      <c r="F19" s="12"/>
      <c r="G19" s="12"/>
      <c r="H19" s="12"/>
    </row>
    <row r="20" customFormat="false" ht="15" hidden="false" customHeight="true" outlineLevel="0" collapsed="false">
      <c r="B20" s="10" t="s">
        <v>25</v>
      </c>
      <c r="C20" s="16" t="n">
        <v>1</v>
      </c>
      <c r="D20" s="12" t="s">
        <v>26</v>
      </c>
      <c r="E20" s="12"/>
      <c r="F20" s="12"/>
      <c r="G20" s="12"/>
      <c r="H20" s="12"/>
    </row>
    <row r="21" customFormat="false" ht="6.75" hidden="false" customHeight="true" outlineLevel="0" collapsed="false"/>
    <row r="22" customFormat="false" ht="6.75" hidden="false" customHeight="true" outlineLevel="0" collapsed="false"/>
    <row r="23" customFormat="false" ht="16.5" hidden="false" customHeight="true" outlineLevel="0" collapsed="false">
      <c r="B23" s="9" t="s">
        <v>27</v>
      </c>
      <c r="C23" s="9"/>
      <c r="D23" s="9"/>
      <c r="E23" s="9"/>
      <c r="F23" s="9"/>
      <c r="G23" s="9"/>
      <c r="H23" s="9"/>
    </row>
    <row r="24" customFormat="false" ht="15" hidden="false" customHeight="true" outlineLevel="0" collapsed="false">
      <c r="B24" s="17" t="s">
        <v>28</v>
      </c>
      <c r="C24" s="18" t="n">
        <f aca="false">$C$11*$C$15</f>
        <v>7919999.703</v>
      </c>
      <c r="D24" s="12" t="s">
        <v>29</v>
      </c>
      <c r="E24" s="12"/>
      <c r="F24" s="12"/>
      <c r="G24" s="12"/>
      <c r="H24" s="12"/>
    </row>
    <row r="25" customFormat="false" ht="13.5" hidden="false" customHeight="true" outlineLevel="0" collapsed="false">
      <c r="B25" s="19" t="s">
        <v>30</v>
      </c>
      <c r="C25" s="19"/>
      <c r="D25" s="19"/>
      <c r="E25" s="19"/>
      <c r="F25" s="19"/>
      <c r="G25" s="19"/>
      <c r="H25" s="19"/>
    </row>
    <row r="26" customFormat="false" ht="6.75" hidden="false" customHeight="true" outlineLevel="0" collapsed="false"/>
    <row r="27" customFormat="false" ht="6.75" hidden="false" customHeight="true" outlineLevel="0" collapsed="false"/>
    <row r="28" customFormat="false" ht="16.5" hidden="false" customHeight="true" outlineLevel="0" collapsed="false">
      <c r="B28" s="9" t="s">
        <v>31</v>
      </c>
      <c r="C28" s="9"/>
      <c r="D28" s="9"/>
      <c r="E28" s="9"/>
      <c r="F28" s="9"/>
      <c r="G28" s="9"/>
      <c r="H28" s="9"/>
    </row>
    <row r="29" customFormat="false" ht="15" hidden="false" customHeight="true" outlineLevel="0" collapsed="false">
      <c r="B29" s="17" t="s">
        <v>32</v>
      </c>
      <c r="C29" s="20" t="n">
        <f aca="false">$C$11/(1+$C$14)</f>
        <v>7119654.42976016</v>
      </c>
      <c r="D29" s="12" t="s">
        <v>33</v>
      </c>
      <c r="E29" s="12"/>
      <c r="F29" s="12"/>
      <c r="G29" s="12"/>
      <c r="H29" s="12"/>
    </row>
    <row r="30" customFormat="false" ht="15" hidden="false" customHeight="true" outlineLevel="0" collapsed="false">
      <c r="B30" s="17" t="s">
        <v>34</v>
      </c>
      <c r="C30" s="18" t="n">
        <f aca="false">$C$29*$C$12</f>
        <v>8193298.31776799</v>
      </c>
      <c r="D30" s="12" t="s">
        <v>35</v>
      </c>
      <c r="E30" s="12"/>
      <c r="F30" s="12"/>
      <c r="G30" s="12"/>
      <c r="H30" s="12"/>
    </row>
    <row r="31" customFormat="false" ht="15" hidden="false" customHeight="true" outlineLevel="0" collapsed="false">
      <c r="B31" s="17" t="s">
        <v>36</v>
      </c>
      <c r="C31" s="18" t="n">
        <f aca="false">$C$30*(1+$C$13)</f>
        <v>8500547.00468429</v>
      </c>
      <c r="D31" s="12" t="s">
        <v>37</v>
      </c>
      <c r="E31" s="12"/>
      <c r="F31" s="12"/>
      <c r="G31" s="12"/>
      <c r="H31" s="12"/>
    </row>
    <row r="32" customFormat="false" ht="13.5" hidden="false" customHeight="true" outlineLevel="0" collapsed="false">
      <c r="B32" s="19" t="s">
        <v>38</v>
      </c>
      <c r="C32" s="19"/>
      <c r="D32" s="19"/>
      <c r="E32" s="19"/>
      <c r="F32" s="19"/>
      <c r="G32" s="19"/>
      <c r="H32" s="19"/>
    </row>
    <row r="33" customFormat="false" ht="15" hidden="false" customHeight="true" outlineLevel="0" collapsed="false">
      <c r="B33" s="21" t="s">
        <v>39</v>
      </c>
      <c r="C33" s="22" t="n">
        <f aca="false">$C$31-$C$24</f>
        <v>580547.301684288</v>
      </c>
      <c r="D33" s="12" t="s">
        <v>40</v>
      </c>
      <c r="E33" s="12"/>
      <c r="F33" s="12"/>
      <c r="G33" s="12"/>
      <c r="H33" s="12"/>
    </row>
    <row r="34" customFormat="false" ht="6.75" hidden="false" customHeight="true" outlineLevel="0" collapsed="false"/>
    <row r="35" customFormat="false" ht="6.75" hidden="false" customHeight="true" outlineLevel="0" collapsed="false"/>
    <row r="36" customFormat="false" ht="16.5" hidden="false" customHeight="true" outlineLevel="0" collapsed="false">
      <c r="B36" s="9" t="s">
        <v>41</v>
      </c>
      <c r="C36" s="9"/>
      <c r="D36" s="9"/>
      <c r="E36" s="9"/>
      <c r="F36" s="9"/>
      <c r="G36" s="9"/>
      <c r="H36" s="9"/>
    </row>
    <row r="37" customFormat="false" ht="15" hidden="false" customHeight="true" outlineLevel="0" collapsed="false">
      <c r="B37" s="17" t="s">
        <v>42</v>
      </c>
      <c r="C37" s="18" t="n">
        <f aca="false">$C$11*$C$17</f>
        <v>152727.267</v>
      </c>
      <c r="D37" s="12" t="s">
        <v>43</v>
      </c>
      <c r="E37" s="12"/>
      <c r="F37" s="12"/>
      <c r="G37" s="12"/>
      <c r="H37" s="12"/>
    </row>
    <row r="38" customFormat="false" ht="15" hidden="false" customHeight="true" outlineLevel="0" collapsed="false">
      <c r="B38" s="17" t="s">
        <v>44</v>
      </c>
      <c r="C38" s="18" t="n">
        <f aca="false">$C$37*(1+$C$13)</f>
        <v>158454.5395125</v>
      </c>
      <c r="D38" s="12" t="s">
        <v>45</v>
      </c>
      <c r="E38" s="12"/>
      <c r="F38" s="12"/>
      <c r="G38" s="12"/>
      <c r="H38" s="12"/>
    </row>
    <row r="39" customFormat="false" ht="15" hidden="false" customHeight="true" outlineLevel="0" collapsed="false">
      <c r="B39" s="17" t="s">
        <v>46</v>
      </c>
      <c r="C39" s="18" t="n">
        <f aca="false">$C$11*$C$16-$C$38</f>
        <v>8210999.6920875</v>
      </c>
      <c r="D39" s="12" t="s">
        <v>47</v>
      </c>
      <c r="E39" s="12"/>
      <c r="F39" s="12"/>
      <c r="G39" s="12"/>
      <c r="H39" s="12"/>
    </row>
    <row r="40" customFormat="false" ht="15.75" hidden="false" customHeight="true" outlineLevel="0" collapsed="false">
      <c r="B40" s="19" t="s">
        <v>48</v>
      </c>
      <c r="C40" s="19"/>
      <c r="D40" s="19"/>
      <c r="E40" s="19"/>
      <c r="F40" s="19"/>
      <c r="G40" s="19"/>
      <c r="H40" s="19"/>
    </row>
    <row r="41" customFormat="false" ht="6.75" hidden="false" customHeight="true" outlineLevel="0" collapsed="false"/>
    <row r="42" customFormat="false" ht="6.75" hidden="false" customHeight="true" outlineLevel="0" collapsed="false"/>
    <row r="43" customFormat="false" ht="16.5" hidden="false" customHeight="true" outlineLevel="0" collapsed="false">
      <c r="B43" s="9" t="s">
        <v>49</v>
      </c>
      <c r="C43" s="9"/>
      <c r="D43" s="9"/>
      <c r="E43" s="9"/>
      <c r="F43" s="9"/>
      <c r="G43" s="9"/>
      <c r="H43" s="9"/>
    </row>
    <row r="44" customFormat="false" ht="15" hidden="false" customHeight="true" outlineLevel="0" collapsed="false">
      <c r="B44" s="17" t="s">
        <v>50</v>
      </c>
      <c r="C44" s="18" t="n">
        <f aca="false">$C$11*$C$17</f>
        <v>152727.267</v>
      </c>
      <c r="D44" s="12" t="s">
        <v>43</v>
      </c>
      <c r="E44" s="12"/>
      <c r="F44" s="12"/>
      <c r="G44" s="12"/>
      <c r="H44" s="12"/>
    </row>
    <row r="45" customFormat="false" ht="15" hidden="false" customHeight="true" outlineLevel="0" collapsed="false">
      <c r="B45" s="17" t="s">
        <v>51</v>
      </c>
      <c r="C45" s="18" t="n">
        <f aca="false">$C$11*$C$19</f>
        <v>189090.902</v>
      </c>
      <c r="D45" s="12" t="s">
        <v>52</v>
      </c>
      <c r="E45" s="12"/>
      <c r="F45" s="12"/>
      <c r="G45" s="12"/>
      <c r="H45" s="12"/>
    </row>
    <row r="46" customFormat="false" ht="15" hidden="false" customHeight="true" outlineLevel="0" collapsed="false">
      <c r="B46" s="17" t="s">
        <v>53</v>
      </c>
      <c r="C46" s="18" t="n">
        <f aca="false">$C$44-$C$45</f>
        <v>-36363.635</v>
      </c>
      <c r="D46" s="12" t="s">
        <v>54</v>
      </c>
      <c r="E46" s="12"/>
      <c r="F46" s="12"/>
      <c r="G46" s="12"/>
      <c r="H46" s="12"/>
    </row>
    <row r="47" customFormat="false" ht="15" hidden="false" customHeight="true" outlineLevel="0" collapsed="false">
      <c r="B47" s="17" t="s">
        <v>55</v>
      </c>
      <c r="C47" s="18" t="n">
        <f aca="false">$C$46*(1+$C$13)</f>
        <v>-37727.2713125</v>
      </c>
      <c r="D47" s="12" t="s">
        <v>56</v>
      </c>
      <c r="E47" s="12"/>
      <c r="F47" s="12"/>
      <c r="G47" s="12"/>
      <c r="H47" s="12"/>
    </row>
    <row r="48" customFormat="false" ht="15" hidden="false" customHeight="true" outlineLevel="0" collapsed="false">
      <c r="B48" s="17" t="s">
        <v>57</v>
      </c>
      <c r="C48" s="18" t="n">
        <f aca="false">$C$11*$C$16-$C$47</f>
        <v>8407181.5029125</v>
      </c>
      <c r="D48" s="12" t="s">
        <v>58</v>
      </c>
      <c r="E48" s="12"/>
      <c r="F48" s="12"/>
      <c r="G48" s="12"/>
      <c r="H48" s="12"/>
    </row>
    <row r="49" customFormat="false" ht="15" hidden="false" customHeight="true" outlineLevel="0" collapsed="false">
      <c r="B49" s="17" t="s">
        <v>59</v>
      </c>
      <c r="C49" s="18" t="n">
        <f aca="false">$C$11*$C$18-$C$47</f>
        <v>8546817.8613125</v>
      </c>
      <c r="D49" s="12" t="s">
        <v>60</v>
      </c>
      <c r="E49" s="12"/>
      <c r="F49" s="12"/>
      <c r="G49" s="12"/>
      <c r="H49" s="12"/>
    </row>
    <row r="50" customFormat="false" ht="18" hidden="false" customHeight="true" outlineLevel="0" collapsed="false">
      <c r="B50" s="19" t="s">
        <v>61</v>
      </c>
      <c r="C50" s="19"/>
      <c r="D50" s="19"/>
      <c r="E50" s="19"/>
      <c r="F50" s="19"/>
      <c r="G50" s="19"/>
      <c r="H50" s="19"/>
    </row>
    <row r="51" customFormat="false" ht="6.75" hidden="false" customHeight="true" outlineLevel="0" collapsed="false"/>
    <row r="52" customFormat="false" ht="6.75" hidden="false" customHeight="true" outlineLevel="0" collapsed="false"/>
    <row r="53" customFormat="false" ht="16.5" hidden="false" customHeight="true" outlineLevel="0" collapsed="false">
      <c r="B53" s="9" t="s">
        <v>62</v>
      </c>
      <c r="C53" s="9"/>
      <c r="D53" s="9"/>
      <c r="E53" s="9"/>
      <c r="F53" s="9"/>
      <c r="G53" s="9"/>
      <c r="H53" s="9"/>
    </row>
    <row r="54" customFormat="false" ht="27.75" hidden="false" customHeight="true" outlineLevel="0" collapsed="false">
      <c r="B54" s="23" t="s">
        <v>63</v>
      </c>
      <c r="C54" s="23" t="s">
        <v>64</v>
      </c>
      <c r="D54" s="23" t="s">
        <v>65</v>
      </c>
      <c r="E54" s="23" t="s">
        <v>66</v>
      </c>
      <c r="F54" s="23" t="s">
        <v>67</v>
      </c>
      <c r="G54" s="23" t="s">
        <v>68</v>
      </c>
      <c r="H54" s="23" t="s">
        <v>69</v>
      </c>
    </row>
    <row r="55" customFormat="false" ht="15" hidden="false" customHeight="true" outlineLevel="0" collapsed="false">
      <c r="B55" s="24" t="n">
        <f aca="false">$C$12*0.95</f>
        <v>1.09326</v>
      </c>
      <c r="C55" s="25" t="n">
        <f aca="false">B55*$C$11</f>
        <v>7950981.52002</v>
      </c>
      <c r="D55" s="25" t="n">
        <f aca="false">$C$24</f>
        <v>7919999.703</v>
      </c>
      <c r="E55" s="25" t="n">
        <f aca="false">$C$31</f>
        <v>8500547.00468429</v>
      </c>
      <c r="F55" s="25" t="n">
        <f aca="false">IF(B55&lt;$C$16,$C$11*$C$16-$C$38,B55*$C$11-$C$38)</f>
        <v>8210999.6920875</v>
      </c>
      <c r="G55" s="25" t="n">
        <f aca="false">IF(B55&lt;$C$16,$C$11*$C$16-$C$47,IF(B55&gt;$C$18,$C$11*$C$18-$C$47,B55*$C$11-$C$47))</f>
        <v>8407181.5029125</v>
      </c>
      <c r="H55" s="26" t="str">
        <f aca="false">INDEX({"No Hedge","Forward","MM Hedge","Put Only","Collar"},MATCH(MAX(C55:G55),C55:G55,0))</f>
        <v>MM Hedge</v>
      </c>
    </row>
    <row r="56" customFormat="false" ht="15" hidden="false" customHeight="true" outlineLevel="0" collapsed="false">
      <c r="B56" s="24" t="n">
        <f aca="false">$C$12*0.96</f>
        <v>1.104768</v>
      </c>
      <c r="C56" s="25" t="n">
        <f aca="false">B56*$C$11</f>
        <v>8034676.062336</v>
      </c>
      <c r="D56" s="25" t="n">
        <f aca="false">$C$24</f>
        <v>7919999.703</v>
      </c>
      <c r="E56" s="25" t="n">
        <f aca="false">$C$31</f>
        <v>8500547.00468429</v>
      </c>
      <c r="F56" s="25" t="n">
        <f aca="false">IF(B56&lt;$C$16,$C$11*$C$16-$C$38,B56*$C$11-$C$38)</f>
        <v>8210999.6920875</v>
      </c>
      <c r="G56" s="25" t="n">
        <f aca="false">IF(B56&lt;$C$16,$C$11*$C$16-$C$47,IF(B56&gt;$C$18,$C$11*$C$18-$C$47,B56*$C$11-$C$47))</f>
        <v>8407181.5029125</v>
      </c>
      <c r="H56" s="26" t="str">
        <f aca="false">INDEX({"No Hedge","Forward","MM Hedge","Put Only","Collar"},MATCH(MAX(C56:G56),C56:G56,0))</f>
        <v>MM Hedge</v>
      </c>
    </row>
    <row r="57" customFormat="false" ht="15" hidden="false" customHeight="true" outlineLevel="0" collapsed="false">
      <c r="B57" s="24" t="n">
        <f aca="false">$C$12*0.97</f>
        <v>1.116276</v>
      </c>
      <c r="C57" s="25" t="n">
        <f aca="false">B57*$C$11</f>
        <v>8118370.604652</v>
      </c>
      <c r="D57" s="25" t="n">
        <f aca="false">$C$24</f>
        <v>7919999.703</v>
      </c>
      <c r="E57" s="25" t="n">
        <f aca="false">$C$31</f>
        <v>8500547.00468429</v>
      </c>
      <c r="F57" s="25" t="n">
        <f aca="false">IF(B57&lt;$C$16,$C$11*$C$16-$C$38,B57*$C$11-$C$38)</f>
        <v>8210999.6920875</v>
      </c>
      <c r="G57" s="25" t="n">
        <f aca="false">IF(B57&lt;$C$16,$C$11*$C$16-$C$47,IF(B57&gt;$C$18,$C$11*$C$18-$C$47,B57*$C$11-$C$47))</f>
        <v>8407181.5029125</v>
      </c>
      <c r="H57" s="26" t="str">
        <f aca="false">INDEX({"No Hedge","Forward","MM Hedge","Put Only","Collar"},MATCH(MAX(C57:G57),C57:G57,0))</f>
        <v>MM Hedge</v>
      </c>
    </row>
    <row r="58" customFormat="false" ht="15" hidden="false" customHeight="true" outlineLevel="0" collapsed="false">
      <c r="B58" s="24" t="n">
        <f aca="false">$C$12*0.98</f>
        <v>1.127784</v>
      </c>
      <c r="C58" s="25" t="n">
        <f aca="false">B58*$C$11</f>
        <v>8202065.146968</v>
      </c>
      <c r="D58" s="25" t="n">
        <f aca="false">$C$24</f>
        <v>7919999.703</v>
      </c>
      <c r="E58" s="25" t="n">
        <f aca="false">$C$31</f>
        <v>8500547.00468429</v>
      </c>
      <c r="F58" s="25" t="n">
        <f aca="false">IF(B58&lt;$C$16,$C$11*$C$16-$C$38,B58*$C$11-$C$38)</f>
        <v>8210999.6920875</v>
      </c>
      <c r="G58" s="25" t="n">
        <f aca="false">IF(B58&lt;$C$16,$C$11*$C$16-$C$47,IF(B58&gt;$C$18,$C$11*$C$18-$C$47,B58*$C$11-$C$47))</f>
        <v>8407181.5029125</v>
      </c>
      <c r="H58" s="26" t="str">
        <f aca="false">INDEX({"No Hedge","Forward","MM Hedge","Put Only","Collar"},MATCH(MAX(C58:G58),C58:G58,0))</f>
        <v>MM Hedge</v>
      </c>
    </row>
    <row r="59" customFormat="false" ht="15" hidden="false" customHeight="true" outlineLevel="0" collapsed="false">
      <c r="B59" s="24" t="n">
        <f aca="false">$C$12*0.99</f>
        <v>1.139292</v>
      </c>
      <c r="C59" s="25" t="n">
        <f aca="false">B59*$C$11</f>
        <v>8285759.689284</v>
      </c>
      <c r="D59" s="25" t="n">
        <f aca="false">$C$24</f>
        <v>7919999.703</v>
      </c>
      <c r="E59" s="25" t="n">
        <f aca="false">$C$31</f>
        <v>8500547.00468429</v>
      </c>
      <c r="F59" s="25" t="n">
        <f aca="false">IF(B59&lt;$C$16,$C$11*$C$16-$C$38,B59*$C$11-$C$38)</f>
        <v>8210999.6920875</v>
      </c>
      <c r="G59" s="25" t="n">
        <f aca="false">IF(B59&lt;$C$16,$C$11*$C$16-$C$47,IF(B59&gt;$C$18,$C$11*$C$18-$C$47,B59*$C$11-$C$47))</f>
        <v>8407181.5029125</v>
      </c>
      <c r="H59" s="26" t="str">
        <f aca="false">INDEX({"No Hedge","Forward","MM Hedge","Put Only","Collar"},MATCH(MAX(C59:G59),C59:G59,0))</f>
        <v>MM Hedge</v>
      </c>
    </row>
    <row r="60" customFormat="false" ht="15" hidden="false" customHeight="true" outlineLevel="0" collapsed="false">
      <c r="B60" s="27" t="n">
        <f aca="false">$C$12*1</f>
        <v>1.1508</v>
      </c>
      <c r="C60" s="28" t="n">
        <f aca="false">B60*$C$11</f>
        <v>8369454.2316</v>
      </c>
      <c r="D60" s="28" t="n">
        <f aca="false">$C$24</f>
        <v>7919999.703</v>
      </c>
      <c r="E60" s="28" t="n">
        <f aca="false">$C$31</f>
        <v>8500547.00468429</v>
      </c>
      <c r="F60" s="28" t="n">
        <f aca="false">IF(B60&lt;$C$16,$C$11*$C$16-$C$38,B60*$C$11-$C$38)</f>
        <v>8210999.6920875</v>
      </c>
      <c r="G60" s="28" t="n">
        <f aca="false">IF(B60&lt;$C$16,$C$11*$C$16-$C$47,IF(B60&gt;$C$18,$C$11*$C$18-$C$47,B60*$C$11-$C$47))</f>
        <v>8407181.5029125</v>
      </c>
      <c r="H60" s="29" t="str">
        <f aca="false">INDEX({"No Hedge","Forward","MM Hedge","Put Only","Collar"},MATCH(MAX(C60:G60),C60:G60,0))</f>
        <v>MM Hedge</v>
      </c>
    </row>
    <row r="61" customFormat="false" ht="15" hidden="false" customHeight="true" outlineLevel="0" collapsed="false">
      <c r="B61" s="24" t="n">
        <f aca="false">$C$12*1.01</f>
        <v>1.162308</v>
      </c>
      <c r="C61" s="25" t="n">
        <f aca="false">B61*$C$11</f>
        <v>8453148.773916</v>
      </c>
      <c r="D61" s="25" t="n">
        <f aca="false">$C$24</f>
        <v>7919999.703</v>
      </c>
      <c r="E61" s="25" t="n">
        <f aca="false">$C$31</f>
        <v>8500547.00468429</v>
      </c>
      <c r="F61" s="25" t="n">
        <f aca="false">IF(B61&lt;$C$16,$C$11*$C$16-$C$38,B61*$C$11-$C$38)</f>
        <v>8294694.2344035</v>
      </c>
      <c r="G61" s="25" t="n">
        <f aca="false">IF(B61&lt;$C$16,$C$11*$C$16-$C$47,IF(B61&gt;$C$18,$C$11*$C$18-$C$47,B61*$C$11-$C$47))</f>
        <v>8490876.0452285</v>
      </c>
      <c r="H61" s="26" t="str">
        <f aca="false">INDEX({"No Hedge","Forward","MM Hedge","Put Only","Collar"},MATCH(MAX(C61:G61),C61:G61,0))</f>
        <v>MM Hedge</v>
      </c>
    </row>
    <row r="62" customFormat="false" ht="15" hidden="false" customHeight="true" outlineLevel="0" collapsed="false">
      <c r="B62" s="24" t="n">
        <f aca="false">$C$12*1.02</f>
        <v>1.173816</v>
      </c>
      <c r="C62" s="25" t="n">
        <f aca="false">B62*$C$11</f>
        <v>8536843.316232</v>
      </c>
      <c r="D62" s="25" t="n">
        <f aca="false">$C$24</f>
        <v>7919999.703</v>
      </c>
      <c r="E62" s="25" t="n">
        <f aca="false">$C$31</f>
        <v>8500547.00468429</v>
      </c>
      <c r="F62" s="25" t="n">
        <f aca="false">IF(B62&lt;$C$16,$C$11*$C$16-$C$38,B62*$C$11-$C$38)</f>
        <v>8378388.7767195</v>
      </c>
      <c r="G62" s="25" t="n">
        <f aca="false">IF(B62&lt;$C$16,$C$11*$C$16-$C$47,IF(B62&gt;$C$18,$C$11*$C$18-$C$47,B62*$C$11-$C$47))</f>
        <v>8546817.8613125</v>
      </c>
      <c r="H62" s="26" t="str">
        <f aca="false">INDEX({"No Hedge","Forward","MM Hedge","Put Only","Collar"},MATCH(MAX(C62:G62),C62:G62,0))</f>
        <v>Collar</v>
      </c>
    </row>
    <row r="63" customFormat="false" ht="15" hidden="false" customHeight="true" outlineLevel="0" collapsed="false">
      <c r="B63" s="24" t="n">
        <f aca="false">$C$12*1.03</f>
        <v>1.185324</v>
      </c>
      <c r="C63" s="25" t="n">
        <f aca="false">B63*$C$11</f>
        <v>8620537.858548</v>
      </c>
      <c r="D63" s="25" t="n">
        <f aca="false">$C$24</f>
        <v>7919999.703</v>
      </c>
      <c r="E63" s="25" t="n">
        <f aca="false">$C$31</f>
        <v>8500547.00468429</v>
      </c>
      <c r="F63" s="25" t="n">
        <f aca="false">IF(B63&lt;$C$16,$C$11*$C$16-$C$38,B63*$C$11-$C$38)</f>
        <v>8462083.3190355</v>
      </c>
      <c r="G63" s="25" t="n">
        <f aca="false">IF(B63&lt;$C$16,$C$11*$C$16-$C$47,IF(B63&gt;$C$18,$C$11*$C$18-$C$47,B63*$C$11-$C$47))</f>
        <v>8546817.8613125</v>
      </c>
      <c r="H63" s="26" t="str">
        <f aca="false">INDEX({"No Hedge","Forward","MM Hedge","Put Only","Collar"},MATCH(MAX(C63:G63),C63:G63,0))</f>
        <v>No Hedge</v>
      </c>
    </row>
    <row r="64" customFormat="false" ht="15" hidden="false" customHeight="true" outlineLevel="0" collapsed="false">
      <c r="B64" s="24" t="n">
        <f aca="false">$C$12*1.04</f>
        <v>1.196832</v>
      </c>
      <c r="C64" s="25" t="n">
        <f aca="false">B64*$C$11</f>
        <v>8704232.400864</v>
      </c>
      <c r="D64" s="25" t="n">
        <f aca="false">$C$24</f>
        <v>7919999.703</v>
      </c>
      <c r="E64" s="25" t="n">
        <f aca="false">$C$31</f>
        <v>8500547.00468429</v>
      </c>
      <c r="F64" s="25" t="n">
        <f aca="false">IF(B64&lt;$C$16,$C$11*$C$16-$C$38,B64*$C$11-$C$38)</f>
        <v>8545777.8613515</v>
      </c>
      <c r="G64" s="25" t="n">
        <f aca="false">IF(B64&lt;$C$16,$C$11*$C$16-$C$47,IF(B64&gt;$C$18,$C$11*$C$18-$C$47,B64*$C$11-$C$47))</f>
        <v>8546817.8613125</v>
      </c>
      <c r="H64" s="26" t="str">
        <f aca="false">INDEX({"No Hedge","Forward","MM Hedge","Put Only","Collar"},MATCH(MAX(C64:G64),C64:G64,0))</f>
        <v>No Hedge</v>
      </c>
    </row>
    <row r="65" customFormat="false" ht="15" hidden="false" customHeight="true" outlineLevel="0" collapsed="false">
      <c r="B65" s="24" t="n">
        <f aca="false">$C$12*1.05</f>
        <v>1.20834</v>
      </c>
      <c r="C65" s="25" t="n">
        <f aca="false">B65*$C$11</f>
        <v>8787926.94318</v>
      </c>
      <c r="D65" s="25" t="n">
        <f aca="false">$C$24</f>
        <v>7919999.703</v>
      </c>
      <c r="E65" s="25" t="n">
        <f aca="false">$C$31</f>
        <v>8500547.00468429</v>
      </c>
      <c r="F65" s="25" t="n">
        <f aca="false">IF(B65&lt;$C$16,$C$11*$C$16-$C$38,B65*$C$11-$C$38)</f>
        <v>8629472.4036675</v>
      </c>
      <c r="G65" s="25" t="n">
        <f aca="false">IF(B65&lt;$C$16,$C$11*$C$16-$C$47,IF(B65&gt;$C$18,$C$11*$C$18-$C$47,B65*$C$11-$C$47))</f>
        <v>8546817.8613125</v>
      </c>
      <c r="H65" s="26" t="str">
        <f aca="false">INDEX({"No Hedge","Forward","MM Hedge","Put Only","Collar"},MATCH(MAX(C65:G65),C65:G65,0))</f>
        <v>No Hedge</v>
      </c>
    </row>
    <row r="66" customFormat="false" ht="13.5" hidden="false" customHeight="true" outlineLevel="0" collapsed="false">
      <c r="B66" s="19" t="s">
        <v>70</v>
      </c>
      <c r="C66" s="19"/>
      <c r="D66" s="19"/>
      <c r="E66" s="19"/>
      <c r="F66" s="19"/>
      <c r="G66" s="19"/>
      <c r="H66" s="19"/>
    </row>
    <row r="67" customFormat="false" ht="6.75" hidden="false" customHeight="true" outlineLevel="0" collapsed="false"/>
    <row r="68" customFormat="false" ht="6.75" hidden="false" customHeight="true" outlineLevel="0" collapsed="false"/>
    <row r="69" customFormat="false" ht="16.5" hidden="false" customHeight="true" outlineLevel="0" collapsed="false">
      <c r="B69" s="9" t="s">
        <v>71</v>
      </c>
      <c r="C69" s="9"/>
      <c r="D69" s="9"/>
      <c r="E69" s="9"/>
      <c r="F69" s="9"/>
      <c r="G69" s="9"/>
      <c r="H69" s="9"/>
    </row>
    <row r="70" customFormat="false" ht="15" hidden="false" customHeight="true" outlineLevel="0" collapsed="false">
      <c r="B70" s="21" t="s">
        <v>72</v>
      </c>
      <c r="C70" s="22" t="n">
        <f aca="false">$C$24</f>
        <v>7919999.703</v>
      </c>
      <c r="D70" s="12" t="s">
        <v>73</v>
      </c>
      <c r="E70" s="12"/>
      <c r="F70" s="12"/>
      <c r="G70" s="12"/>
      <c r="H70" s="12"/>
    </row>
    <row r="71" customFormat="false" ht="15" hidden="false" customHeight="true" outlineLevel="0" collapsed="false">
      <c r="B71" s="21" t="s">
        <v>74</v>
      </c>
      <c r="C71" s="22" t="n">
        <f aca="false">$C$31</f>
        <v>8500547.00468429</v>
      </c>
      <c r="D71" s="12" t="s">
        <v>75</v>
      </c>
      <c r="E71" s="12"/>
      <c r="F71" s="12"/>
      <c r="G71" s="12"/>
      <c r="H71" s="12"/>
    </row>
    <row r="72" customFormat="false" ht="15" hidden="false" customHeight="true" outlineLevel="0" collapsed="false">
      <c r="B72" s="21" t="s">
        <v>76</v>
      </c>
      <c r="C72" s="22" t="n">
        <f aca="false">$C$39</f>
        <v>8210999.6920875</v>
      </c>
      <c r="D72" s="12" t="s">
        <v>77</v>
      </c>
      <c r="E72" s="12"/>
      <c r="F72" s="12"/>
      <c r="G72" s="12"/>
      <c r="H72" s="12"/>
    </row>
    <row r="73" customFormat="false" ht="15" hidden="false" customHeight="true" outlineLevel="0" collapsed="false">
      <c r="B73" s="21" t="s">
        <v>78</v>
      </c>
      <c r="C73" s="22" t="n">
        <f aca="false">$C$48</f>
        <v>8407181.5029125</v>
      </c>
      <c r="D73" s="12" t="s">
        <v>79</v>
      </c>
      <c r="E73" s="12"/>
      <c r="F73" s="12"/>
      <c r="G73" s="12"/>
      <c r="H73" s="12"/>
    </row>
    <row r="74" customFormat="false" ht="15" hidden="false" customHeight="true" outlineLevel="0" collapsed="false">
      <c r="B74" s="21" t="s">
        <v>80</v>
      </c>
      <c r="C74" s="22" t="n">
        <f aca="false">$C$49</f>
        <v>8546817.8613125</v>
      </c>
      <c r="D74" s="12" t="s">
        <v>81</v>
      </c>
      <c r="E74" s="12"/>
      <c r="F74" s="12"/>
      <c r="G74" s="12"/>
      <c r="H74" s="12"/>
    </row>
    <row r="75" customFormat="false" ht="15" hidden="false" customHeight="true" outlineLevel="0" collapsed="false">
      <c r="B75" s="21" t="s">
        <v>82</v>
      </c>
      <c r="C75" s="30" t="s">
        <v>83</v>
      </c>
      <c r="D75" s="12" t="s">
        <v>84</v>
      </c>
      <c r="E75" s="12"/>
      <c r="F75" s="12"/>
      <c r="G75" s="12"/>
      <c r="H75" s="12"/>
    </row>
    <row r="76" customFormat="false" ht="6.75" hidden="false" customHeight="true" outlineLevel="0" collapsed="false"/>
  </sheetData>
  <mergeCells count="48">
    <mergeCell ref="B1:H1"/>
    <mergeCell ref="B2:H2"/>
    <mergeCell ref="C5:H5"/>
    <mergeCell ref="C6:H6"/>
    <mergeCell ref="C7:H7"/>
    <mergeCell ref="C8:H8"/>
    <mergeCell ref="B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B23:H23"/>
    <mergeCell ref="D24:H24"/>
    <mergeCell ref="B25:H25"/>
    <mergeCell ref="B28:H28"/>
    <mergeCell ref="D29:H29"/>
    <mergeCell ref="D30:H30"/>
    <mergeCell ref="D31:H31"/>
    <mergeCell ref="B32:H32"/>
    <mergeCell ref="D33:H33"/>
    <mergeCell ref="B36:H36"/>
    <mergeCell ref="D37:H37"/>
    <mergeCell ref="D38:H38"/>
    <mergeCell ref="D39:H39"/>
    <mergeCell ref="B40:H40"/>
    <mergeCell ref="B43:H43"/>
    <mergeCell ref="D44:H44"/>
    <mergeCell ref="D45:H45"/>
    <mergeCell ref="D46:H46"/>
    <mergeCell ref="D47:H47"/>
    <mergeCell ref="D48:H48"/>
    <mergeCell ref="D49:H49"/>
    <mergeCell ref="B50:H50"/>
    <mergeCell ref="B53:H53"/>
    <mergeCell ref="B66:H66"/>
    <mergeCell ref="B69:H69"/>
    <mergeCell ref="D70:H70"/>
    <mergeCell ref="D71:H71"/>
    <mergeCell ref="D72:H72"/>
    <mergeCell ref="D73:H73"/>
    <mergeCell ref="D74:H74"/>
    <mergeCell ref="D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64"/>
  </cols>
  <sheetData>
    <row r="1" customFormat="false" ht="24" hidden="false" customHeight="true" outlineLevel="0" collapsed="false">
      <c r="B1" s="31" t="s">
        <v>85</v>
      </c>
      <c r="C1" s="31"/>
    </row>
    <row r="2" customFormat="false" ht="15.75" hidden="false" customHeight="true" outlineLevel="0" collapsed="false">
      <c r="B2" s="32" t="s">
        <v>86</v>
      </c>
      <c r="C2" s="32" t="s">
        <v>87</v>
      </c>
    </row>
    <row r="3" customFormat="false" ht="43.5" hidden="false" customHeight="true" outlineLevel="0" collapsed="false">
      <c r="B3" s="33" t="s">
        <v>88</v>
      </c>
      <c r="C3" s="33" t="s">
        <v>89</v>
      </c>
    </row>
    <row r="4" customFormat="false" ht="43.5" hidden="false" customHeight="true" outlineLevel="0" collapsed="false">
      <c r="B4" s="34" t="s">
        <v>90</v>
      </c>
      <c r="C4" s="34" t="s">
        <v>91</v>
      </c>
    </row>
    <row r="5" customFormat="false" ht="43.5" hidden="false" customHeight="true" outlineLevel="0" collapsed="false">
      <c r="B5" s="33" t="s">
        <v>92</v>
      </c>
      <c r="C5" s="33" t="s">
        <v>93</v>
      </c>
    </row>
    <row r="6" customFormat="false" ht="43.5" hidden="false" customHeight="true" outlineLevel="0" collapsed="false">
      <c r="B6" s="34" t="s">
        <v>94</v>
      </c>
      <c r="C6" s="34" t="s">
        <v>95</v>
      </c>
    </row>
    <row r="7" customFormat="false" ht="43.5" hidden="false" customHeight="true" outlineLevel="0" collapsed="false">
      <c r="B7" s="33" t="s">
        <v>96</v>
      </c>
      <c r="C7" s="33" t="s">
        <v>97</v>
      </c>
    </row>
    <row r="8" customFormat="false" ht="43.5" hidden="false" customHeight="true" outlineLevel="0" collapsed="false">
      <c r="B8" s="34" t="s">
        <v>98</v>
      </c>
      <c r="C8" s="34" t="s">
        <v>99</v>
      </c>
    </row>
    <row r="9" customFormat="false" ht="43.5" hidden="false" customHeight="true" outlineLevel="0" collapsed="false">
      <c r="B9" s="33" t="s">
        <v>100</v>
      </c>
      <c r="C9" s="33" t="s">
        <v>101</v>
      </c>
    </row>
    <row r="10" customFormat="false" ht="43.5" hidden="false" customHeight="true" outlineLevel="0" collapsed="false">
      <c r="B10" s="34" t="s">
        <v>102</v>
      </c>
      <c r="C10" s="34" t="s">
        <v>103</v>
      </c>
    </row>
    <row r="11" customFormat="false" ht="43.5" hidden="false" customHeight="true" outlineLevel="0" collapsed="false">
      <c r="B11" s="33" t="s">
        <v>104</v>
      </c>
      <c r="C11" s="33" t="s">
        <v>105</v>
      </c>
    </row>
    <row r="12" customFormat="false" ht="43.5" hidden="false" customHeight="true" outlineLevel="0" collapsed="false">
      <c r="B12" s="34" t="s">
        <v>106</v>
      </c>
      <c r="C12" s="34" t="s">
        <v>107</v>
      </c>
    </row>
    <row r="13" customFormat="false" ht="43.5" hidden="false" customHeight="true" outlineLevel="0" collapsed="false">
      <c r="B13" s="33" t="s">
        <v>108</v>
      </c>
      <c r="C13" s="33" t="s">
        <v>109</v>
      </c>
    </row>
    <row r="14" customFormat="false" ht="43.5" hidden="false" customHeight="true" outlineLevel="0" collapsed="false">
      <c r="B14" s="34" t="s">
        <v>110</v>
      </c>
      <c r="C14" s="34" t="s">
        <v>111</v>
      </c>
    </row>
    <row r="15" customFormat="false" ht="43.5" hidden="false" customHeight="true" outlineLevel="0" collapsed="false">
      <c r="B15" s="33" t="s">
        <v>112</v>
      </c>
      <c r="C15" s="33" t="s">
        <v>113</v>
      </c>
    </row>
    <row r="16" customFormat="false" ht="43.5" hidden="false" customHeight="true" outlineLevel="0" collapsed="false">
      <c r="B16" s="34" t="s">
        <v>114</v>
      </c>
      <c r="C16" s="34" t="s">
        <v>115</v>
      </c>
    </row>
    <row r="17" customFormat="false" ht="43.5" hidden="false" customHeight="true" outlineLevel="0" collapsed="false">
      <c r="B17" s="33" t="s">
        <v>116</v>
      </c>
      <c r="C17" s="33" t="s">
        <v>117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2026-04-16T04:10:22Z</dcterms:created>
  <dc:creator>openpyxl</dc:creator>
  <dc:description/>
  <dc:language>en-US</dc:language>
  <cp:lastModifiedBy/>
  <dcterms:modified xsi:type="dcterms:W3CDTF">2026-04-16T04:10:33Z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